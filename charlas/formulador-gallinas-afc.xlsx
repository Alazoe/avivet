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andres_lazo/Documents/avivet-wiki/presentacion/"/>
    </mc:Choice>
  </mc:AlternateContent>
  <xr:revisionPtr revIDLastSave="0" documentId="13_ncr:1_{EA7130CE-4A83-764E-BDE3-F91C611E0634}" xr6:coauthVersionLast="47" xr6:coauthVersionMax="47" xr10:uidLastSave="{00000000-0000-0000-0000-000000000000}"/>
  <bookViews>
    <workbookView xWindow="0" yWindow="680" windowWidth="34200" windowHeight="21460" activeTab="2" xr2:uid="{00000000-000D-0000-FFFF-FFFF00000000}"/>
  </bookViews>
  <sheets>
    <sheet name="Formulador" sheetId="1" r:id="rId1"/>
    <sheet name="Materias primas" sheetId="2" r:id="rId2"/>
    <sheet name="Requerimient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B34" i="1"/>
  <c r="B36" i="1" s="1"/>
  <c r="B32" i="1"/>
  <c r="B31" i="1"/>
  <c r="B30" i="1"/>
  <c r="B29" i="1"/>
  <c r="B28" i="1"/>
  <c r="B27" i="1"/>
  <c r="B26" i="1"/>
  <c r="B25" i="1"/>
  <c r="B22" i="1"/>
  <c r="E22" i="1" s="1"/>
  <c r="D21" i="1"/>
  <c r="E21" i="1" s="1"/>
  <c r="A21" i="1"/>
  <c r="D20" i="1"/>
  <c r="E20" i="1" s="1"/>
  <c r="A20" i="1"/>
  <c r="D19" i="1"/>
  <c r="E19" i="1" s="1"/>
  <c r="A19" i="1"/>
  <c r="D18" i="1"/>
  <c r="E18" i="1" s="1"/>
  <c r="A18" i="1"/>
  <c r="D17" i="1"/>
  <c r="E17" i="1" s="1"/>
  <c r="A17" i="1"/>
  <c r="D16" i="1"/>
  <c r="E16" i="1" s="1"/>
  <c r="A16" i="1"/>
  <c r="D15" i="1"/>
  <c r="E15" i="1" s="1"/>
  <c r="A15" i="1"/>
  <c r="D14" i="1"/>
  <c r="E14" i="1" s="1"/>
  <c r="A14" i="1"/>
  <c r="D13" i="1"/>
  <c r="E13" i="1" s="1"/>
  <c r="A13" i="1"/>
  <c r="D12" i="1"/>
  <c r="E12" i="1" s="1"/>
  <c r="A12" i="1"/>
  <c r="F9" i="1"/>
  <c r="D29" i="1" l="1"/>
  <c r="C29" i="1"/>
  <c r="C28" i="1"/>
  <c r="E28" i="1" s="1"/>
  <c r="C26" i="1"/>
  <c r="E26" i="1" s="1"/>
  <c r="C27" i="1"/>
  <c r="E27" i="1" s="1"/>
  <c r="D25" i="1"/>
  <c r="C25" i="1"/>
  <c r="C31" i="1"/>
  <c r="E31" i="1" s="1"/>
  <c r="C30" i="1"/>
  <c r="E30" i="1" s="1"/>
  <c r="E29" i="1" l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AviVet</author>
  </authors>
  <commentList>
    <comment ref="B3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Referencia: 90–120 g/día gallina rústica (Embrapa 051); 110–115 g/día marrón comercial (Rostagno et al. 2024). Ajuste según su lote.</t>
        </r>
      </text>
    </comment>
  </commentList>
</comments>
</file>

<file path=xl/sharedStrings.xml><?xml version="1.0" encoding="utf-8"?>
<sst xmlns="http://schemas.openxmlformats.org/spreadsheetml/2006/main" count="94" uniqueCount="76">
  <si>
    <t>Formulador de raciones para gallinas — agricultura familiar campesina</t>
  </si>
  <si>
    <t>Herramienta de apoyo con valores promedio de tablas. No reemplaza la asesoría de un profesional.</t>
  </si>
  <si>
    <t>Cómo usar:</t>
  </si>
  <si>
    <t>1. Elija la etapa de sus aves en la celda amarilla de abajo.</t>
  </si>
  <si>
    <t>2. Escriba el % de cada ingrediente en las celdas amarillas, hasta que el total sume 100.</t>
  </si>
  <si>
    <t>3. Si conoce el precio por kg, escríbalo: la planilla calcula el costo.</t>
  </si>
  <si>
    <t>4. Mire la columna "Resultado": OK, Falta o Exceso.  Celdas amarillas = para editar; el resto se calcula solo.</t>
  </si>
  <si>
    <t>Etapa de las aves:</t>
  </si>
  <si>
    <t>Gallina en postura</t>
  </si>
  <si>
    <t>Ingrediente</t>
  </si>
  <si>
    <t>% en la mezcla</t>
  </si>
  <si>
    <t>Precio ($/kg)</t>
  </si>
  <si>
    <t>Máximo recomendado en ponedoras (%)</t>
  </si>
  <si>
    <t>Aviso</t>
  </si>
  <si>
    <t>TOTAL</t>
  </si>
  <si>
    <t>Nutriente</t>
  </si>
  <si>
    <t>Su mezcla</t>
  </si>
  <si>
    <t>Mínimo</t>
  </si>
  <si>
    <t>Máximo</t>
  </si>
  <si>
    <t>Resultado</t>
  </si>
  <si>
    <t>Energía metabolizable (kcal/kg)</t>
  </si>
  <si>
    <t>Proteína bruta (%)</t>
  </si>
  <si>
    <t>Lisina digestible (%)</t>
  </si>
  <si>
    <t>Metionina + cistina digestible (%)</t>
  </si>
  <si>
    <t>Calcio (%)</t>
  </si>
  <si>
    <t>Fósforo disponible (%)</t>
  </si>
  <si>
    <t>Sodio (%)</t>
  </si>
  <si>
    <t>FDN, fibra (%) — informativo</t>
  </si>
  <si>
    <t>Costo de la mezcla ($/kg)</t>
  </si>
  <si>
    <t>Consumo por gallina (g/día)</t>
  </si>
  <si>
    <t>Costo de alimento por gallina al día ($)</t>
  </si>
  <si>
    <t>Notas:</t>
  </si>
  <si>
    <t>• Los granos solos no alcanzan: aportan energía, pero poca lisina, metionina y calcio. Por eso se combinan con soya o raps, conchuela y sal.</t>
  </si>
  <si>
    <t>• Si falta metionina o fósforo, se corrigen con DL-metionina y fosfato bicálcico; si falta energía, con un poco de aceite (filas opcionales).</t>
  </si>
  <si>
    <t>• Postura: si la conchuela se entrega aparte en la tarde (3–4 g por gallina al día), el calcio de la mezcla puede quedar bajo el mínimo.</t>
  </si>
  <si>
    <t>• Respete el máximo de cada ingrediente (avena 10%, harina de raps 12%, afrechillo 15%, aceite 7%).</t>
  </si>
  <si>
    <t>• La mezcla de ejemplo cumple los requerimientos de postura; cámbiela por la suya.</t>
  </si>
  <si>
    <t>• Valores promedio de: Rostagno et al. 2024 (Tablas Brasileñas, 5ª ed.) y FEDNA 2018.</t>
  </si>
  <si>
    <t>Materias primas: valor nutritivo (en materia natural, tal como se compra)</t>
  </si>
  <si>
    <t>Valores promedio de tablas. Si tiene un análisis de laboratorio de su materia prima, reemplace el número azul. Aminoácidos y fósforo en forma digestible/disponible para aves.</t>
  </si>
  <si>
    <t>Energía metabolizable gallinas (kcal/kg)</t>
  </si>
  <si>
    <t>FDN (fibra) (%)</t>
  </si>
  <si>
    <t>Fuente / nota</t>
  </si>
  <si>
    <t>Maíz grano</t>
  </si>
  <si>
    <t>Rostagno et al. 2024, Tabla 1.01 (maíz media)</t>
  </si>
  <si>
    <t>Avena grano</t>
  </si>
  <si>
    <t>Rostagno et al. 2024, Tabla 1.01. Muestra brasileña con poca fibra bruta (3,7%): la avena con cáscara nacional puede tener más fibra y menos energía</t>
  </si>
  <si>
    <t>Harina de soya 45,6%</t>
  </si>
  <si>
    <t>Rostagno et al. 2024, Tabla 1.01 (harina de soya 45,6% PB)</t>
  </si>
  <si>
    <t>Harina de raps (canola)</t>
  </si>
  <si>
    <t>Rostagno et al. 2024, Tabla 1.01 (harina de canola)</t>
  </si>
  <si>
    <t>Afrechillo de trigo</t>
  </si>
  <si>
    <t>Rostagno et al. 2024, Tabla 1.01 (salvado de trigo). Rico en potasio (1,10%)</t>
  </si>
  <si>
    <t>Conchuela / carbonato de calcio</t>
  </si>
  <si>
    <t>Rostagno et al. 2024, Tabla 1.10 (harina de ostras 36,4% Ca; carbonato calcítico 37,5%). Conchuela local: confirmar con análisis</t>
  </si>
  <si>
    <t>Sal común</t>
  </si>
  <si>
    <t>Rostagno et al. 2024, Tabla 1.10 (39,7% Na; 59,6% Cl)</t>
  </si>
  <si>
    <t>Fosfato bicálcico (opcional)</t>
  </si>
  <si>
    <t>Rostagno et al. 2024, Tabla 1.10 (24% Ca; 18,5% P disponible)</t>
  </si>
  <si>
    <t>DL-metionina (opcional)</t>
  </si>
  <si>
    <t>Rostagno et al. 2024, Tabla 1.08 (digestibilidad 99,2%; energía en materia seca). Pureza del producto comercial: confirmar en la etiqueta</t>
  </si>
  <si>
    <t>Aceite de raps (opcional)</t>
  </si>
  <si>
    <t>Rostagno et al. 2024, Tabla 1.01 (aceite de canola). Sube la energía cuando la conchuela va dentro de la mezcla</t>
  </si>
  <si>
    <t>Requerimientos por etapa (por kg de alimento)</t>
  </si>
  <si>
    <t>Aminoácidos digestibles, para que sean comparables con la hoja de materias primas. La energía se acepta ±3% del valor indicado.</t>
  </si>
  <si>
    <t>Etapa</t>
  </si>
  <si>
    <t>Calcio mínimo (%)</t>
  </si>
  <si>
    <t>Calcio máximo (%)</t>
  </si>
  <si>
    <t>Fuente</t>
  </si>
  <si>
    <t>Pollita 0 a 5 semanas</t>
  </si>
  <si>
    <t>FEDNA 2018, pollitas rubias (Tabla 13)</t>
  </si>
  <si>
    <t>Pollita 5 a 10 semanas</t>
  </si>
  <si>
    <t>Pollita 10 a 17 semanas</t>
  </si>
  <si>
    <t>Inicio de postura</t>
  </si>
  <si>
    <t>Rostagno et al. 2024, Tabla 3.35 (marrón 1,85 kg, 58 g/día de masa de huevo)</t>
  </si>
  <si>
    <t>Postura: si la conchuela se entrega aparte en la tarde (3–4 g por gallina al día), el calcio de la mezcla puede quedar bajo el mínimo: la conchuela aparte completa el resto (FEDNA 2018; Hendrix Genetics 2020).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</si>
</sst>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#"/>
    <numFmt numFmtId="165" formatCode="0.0"/>
    <numFmt numFmtId="166" formatCode="\$#,##0"/>
    <numFmt numFmtId="167" formatCode="\$#,##0.0"/>
  </numFmts>
  <fonts count="9" x14ac:knownFonts="1">
    <font>
      <sz val="11"/>
      <color theme="1"/>
      <name val="Calibri"/>
      <family val="2"/>
      <scheme val="minor"/>
    </font>
    <font>
      <b/>
      <sz val="16"/>
      <color rgb="FF1F3864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11"/>
      <name val="Arial"/>
    </font>
    <font>
      <sz val="11"/>
      <color rgb="FF0000FF"/>
      <name val="Arial"/>
    </font>
    <font>
      <sz val="11"/>
      <name val="Arial"/>
    </font>
    <font>
      <sz val="8"/>
      <color rgb="FFFFFFFF"/>
      <name val="Arial"/>
    </font>
    <font>
      <b/>
      <sz val="11"/>
      <color rgb="FFC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5" fontId="5" fillId="3" borderId="1" xfId="0" applyNumberFormat="1" applyFont="1" applyFill="1" applyBorder="1" applyAlignment="1">
      <alignment horizontal="center" vertical="center" wrapText="1"/>
    </xf>
    <xf numFmtId="166" fontId="5" fillId="3" borderId="1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4" borderId="1" xfId="0" applyFont="1" applyFill="1" applyBorder="1"/>
    <xf numFmtId="165" fontId="4" fillId="4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3" fontId="6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166" fontId="0" fillId="0" borderId="1" xfId="0" applyNumberForma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4" fillId="0" borderId="0" xfId="0" applyFont="1"/>
    <xf numFmtId="0" fontId="5" fillId="3" borderId="1" xfId="0" applyFont="1" applyFill="1" applyBorder="1"/>
    <xf numFmtId="0" fontId="0" fillId="0" borderId="2" xfId="0" applyBorder="1"/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4">
    <dxf>
      <font>
        <b/>
        <color rgb="FF9C5700"/>
        <name val="Arial"/>
      </font>
      <fill>
        <patternFill patternType="solid">
          <fgColor rgb="FFFFEB9C"/>
        </patternFill>
      </fill>
    </dxf>
    <dxf>
      <font>
        <b/>
        <color rgb="FF9C0006"/>
        <name val="Arial"/>
      </font>
      <fill>
        <patternFill patternType="solid">
          <fgColor rgb="FFFFC7CE"/>
        </patternFill>
      </fill>
    </dxf>
    <dxf>
      <font>
        <b/>
        <color rgb="FF006100"/>
        <name val="Arial"/>
      </font>
      <fill>
        <patternFill patternType="solid">
          <fgColor rgb="FFC6EFCE"/>
        </patternFill>
      </fill>
    </dxf>
    <dxf>
      <font>
        <b/>
        <color rgb="FFC00000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649D996-6833-C548-BBDE-C83189B87AE7}">
  <we:reference id="93533c7f-4dc5-468f-aba4-1c008e1a7ac8" version="1.0.0.8" store="EXCatalog" storeType="EXCatalog"/>
  <we:alternateReferences>
    <we:reference id="WA200003101" version="1.0.0.8" store="en-US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showGridLines="0" workbookViewId="0">
      <pane ySplit="11" topLeftCell="A12" activePane="bottomLeft" state="frozen"/>
      <selection pane="bottomLeft"/>
    </sheetView>
  </sheetViews>
  <sheetFormatPr baseColWidth="10" defaultColWidth="8.83203125" defaultRowHeight="15" x14ac:dyDescent="0.2"/>
  <cols>
    <col min="1" max="1" width="36" customWidth="1"/>
    <col min="2" max="2" width="15" customWidth="1"/>
    <col min="3" max="3" width="13" customWidth="1"/>
    <col min="4" max="4" width="17" customWidth="1"/>
    <col min="5" max="5" width="26" customWidth="1"/>
    <col min="6" max="6" width="4" customWidth="1"/>
  </cols>
  <sheetData>
    <row r="1" spans="1:6" ht="20" x14ac:dyDescent="0.2">
      <c r="A1" s="1" t="s">
        <v>0</v>
      </c>
    </row>
    <row r="2" spans="1:6" x14ac:dyDescent="0.2">
      <c r="A2" s="2" t="s">
        <v>1</v>
      </c>
    </row>
    <row r="4" spans="1:6" x14ac:dyDescent="0.2">
      <c r="A4" s="3" t="s">
        <v>2</v>
      </c>
      <c r="B4" s="4" t="s">
        <v>3</v>
      </c>
    </row>
    <row r="5" spans="1:6" x14ac:dyDescent="0.2">
      <c r="B5" s="4" t="s">
        <v>4</v>
      </c>
    </row>
    <row r="6" spans="1:6" x14ac:dyDescent="0.2">
      <c r="B6" s="4" t="s">
        <v>5</v>
      </c>
    </row>
    <row r="7" spans="1:6" x14ac:dyDescent="0.2">
      <c r="B7" s="4" t="s">
        <v>6</v>
      </c>
    </row>
    <row r="9" spans="1:6" x14ac:dyDescent="0.2">
      <c r="A9" s="3" t="s">
        <v>7</v>
      </c>
      <c r="B9" s="30" t="s">
        <v>8</v>
      </c>
      <c r="C9" s="31"/>
      <c r="F9" s="5">
        <f>MATCH(B9,Requerimientos!$A$5:$A$9,0)</f>
        <v>5</v>
      </c>
    </row>
    <row r="11" spans="1:6" ht="44" customHeight="1" x14ac:dyDescent="0.2">
      <c r="A11" s="6" t="s">
        <v>9</v>
      </c>
      <c r="B11" s="6" t="s">
        <v>10</v>
      </c>
      <c r="C11" s="6" t="s">
        <v>11</v>
      </c>
      <c r="D11" s="6" t="s">
        <v>12</v>
      </c>
      <c r="E11" s="6" t="s">
        <v>13</v>
      </c>
    </row>
    <row r="12" spans="1:6" x14ac:dyDescent="0.2">
      <c r="A12" s="7" t="str">
        <f>'Materias primas'!A5</f>
        <v>Maíz grano</v>
      </c>
      <c r="B12" s="8">
        <v>56</v>
      </c>
      <c r="C12" s="9">
        <v>320</v>
      </c>
      <c r="D12" s="10">
        <f>IF('Materias primas'!J5="","",'Materias primas'!J5)</f>
        <v>65</v>
      </c>
      <c r="E12" s="11" t="str">
        <f t="shared" ref="E12:E21" si="0">IF(AND(D12&lt;&gt;"",B12&gt;D12),"Sobre el máximo","")</f>
        <v/>
      </c>
    </row>
    <row r="13" spans="1:6" x14ac:dyDescent="0.2">
      <c r="A13" s="7" t="str">
        <f>'Materias primas'!A6</f>
        <v>Avena grano</v>
      </c>
      <c r="B13" s="8">
        <v>3</v>
      </c>
      <c r="C13" s="9">
        <v>320</v>
      </c>
      <c r="D13" s="10">
        <f>IF('Materias primas'!J6="","",'Materias primas'!J6)</f>
        <v>10</v>
      </c>
      <c r="E13" s="11" t="str">
        <f t="shared" si="0"/>
        <v/>
      </c>
    </row>
    <row r="14" spans="1:6" x14ac:dyDescent="0.2">
      <c r="A14" s="7" t="str">
        <f>'Materias primas'!A7</f>
        <v>Harina de soya 45,6%</v>
      </c>
      <c r="B14" s="8">
        <v>20</v>
      </c>
      <c r="C14" s="9"/>
      <c r="D14" s="10">
        <f>IF('Materias primas'!J7="","",'Materias primas'!J7)</f>
        <v>30</v>
      </c>
      <c r="E14" s="11" t="str">
        <f t="shared" si="0"/>
        <v/>
      </c>
    </row>
    <row r="15" spans="1:6" x14ac:dyDescent="0.2">
      <c r="A15" s="7" t="str">
        <f>'Materias primas'!A8</f>
        <v>Harina de raps (canola)</v>
      </c>
      <c r="B15" s="8">
        <v>4</v>
      </c>
      <c r="C15" s="9"/>
      <c r="D15" s="10">
        <f>IF('Materias primas'!J8="","",'Materias primas'!J8)</f>
        <v>12</v>
      </c>
      <c r="E15" s="11" t="str">
        <f t="shared" si="0"/>
        <v/>
      </c>
    </row>
    <row r="16" spans="1:6" x14ac:dyDescent="0.2">
      <c r="A16" s="7" t="str">
        <f>'Materias primas'!A9</f>
        <v>Afrechillo de trigo</v>
      </c>
      <c r="B16" s="8">
        <v>3</v>
      </c>
      <c r="C16" s="9"/>
      <c r="D16" s="10">
        <f>IF('Materias primas'!J9="","",'Materias primas'!J9)</f>
        <v>15</v>
      </c>
      <c r="E16" s="11" t="str">
        <f t="shared" si="0"/>
        <v/>
      </c>
    </row>
    <row r="17" spans="1:5" x14ac:dyDescent="0.2">
      <c r="A17" s="7" t="str">
        <f>'Materias primas'!A10</f>
        <v>Conchuela / carbonato de calcio</v>
      </c>
      <c r="B17" s="8">
        <v>10.5</v>
      </c>
      <c r="C17" s="9">
        <v>100</v>
      </c>
      <c r="D17" s="10" t="str">
        <f>IF('Materias primas'!J10="","",'Materias primas'!J10)</f>
        <v/>
      </c>
      <c r="E17" s="11" t="str">
        <f t="shared" si="0"/>
        <v/>
      </c>
    </row>
    <row r="18" spans="1:5" x14ac:dyDescent="0.2">
      <c r="A18" s="7" t="str">
        <f>'Materias primas'!A11</f>
        <v>Sal común</v>
      </c>
      <c r="B18" s="8">
        <v>0.45</v>
      </c>
      <c r="C18" s="9"/>
      <c r="D18" s="10" t="str">
        <f>IF('Materias primas'!J11="","",'Materias primas'!J11)</f>
        <v/>
      </c>
      <c r="E18" s="11" t="str">
        <f t="shared" si="0"/>
        <v/>
      </c>
    </row>
    <row r="19" spans="1:5" x14ac:dyDescent="0.2">
      <c r="A19" s="7" t="str">
        <f>'Materias primas'!A12</f>
        <v>Fosfato bicálcico (opcional)</v>
      </c>
      <c r="B19" s="8">
        <v>0.65</v>
      </c>
      <c r="C19" s="9"/>
      <c r="D19" s="10" t="str">
        <f>IF('Materias primas'!J12="","",'Materias primas'!J12)</f>
        <v/>
      </c>
      <c r="E19" s="11" t="str">
        <f t="shared" si="0"/>
        <v/>
      </c>
    </row>
    <row r="20" spans="1:5" x14ac:dyDescent="0.2">
      <c r="A20" s="7" t="str">
        <f>'Materias primas'!A13</f>
        <v>DL-metionina (opcional)</v>
      </c>
      <c r="B20" s="8">
        <v>0.25</v>
      </c>
      <c r="C20" s="9"/>
      <c r="D20" s="10" t="str">
        <f>IF('Materias primas'!J13="","",'Materias primas'!J13)</f>
        <v/>
      </c>
      <c r="E20" s="11" t="str">
        <f t="shared" si="0"/>
        <v/>
      </c>
    </row>
    <row r="21" spans="1:5" x14ac:dyDescent="0.2">
      <c r="A21" s="7" t="str">
        <f>'Materias primas'!A14</f>
        <v>Aceite de raps (opcional)</v>
      </c>
      <c r="B21" s="8">
        <v>2.15</v>
      </c>
      <c r="C21" s="9"/>
      <c r="D21" s="10">
        <f>IF('Materias primas'!J14="","",'Materias primas'!J14)</f>
        <v>7</v>
      </c>
      <c r="E21" s="11" t="str">
        <f t="shared" si="0"/>
        <v/>
      </c>
    </row>
    <row r="22" spans="1:5" x14ac:dyDescent="0.2">
      <c r="A22" s="12" t="s">
        <v>14</v>
      </c>
      <c r="B22" s="13">
        <f>SUM(B12:B21)</f>
        <v>100.00000000000001</v>
      </c>
      <c r="C22" s="14"/>
      <c r="D22" s="14"/>
      <c r="E22" s="12" t="str">
        <f>IF(ABS(B22-100)&lt;0.05,"OK: suma 100%","Ajuste: debe sumar 100%")</f>
        <v>OK: suma 100%</v>
      </c>
    </row>
    <row r="24" spans="1:5" x14ac:dyDescent="0.2">
      <c r="A24" s="6" t="s">
        <v>15</v>
      </c>
      <c r="B24" s="6" t="s">
        <v>16</v>
      </c>
      <c r="C24" s="6" t="s">
        <v>17</v>
      </c>
      <c r="D24" s="6" t="s">
        <v>18</v>
      </c>
      <c r="E24" s="6" t="s">
        <v>19</v>
      </c>
    </row>
    <row r="25" spans="1:5" x14ac:dyDescent="0.2">
      <c r="A25" s="7" t="s">
        <v>20</v>
      </c>
      <c r="B25" s="15">
        <f>SUMPRODUCT($B$12:$B$21,'Materias primas'!B$5:B$14)/100</f>
        <v>2790.2984999999999</v>
      </c>
      <c r="C25" s="15">
        <f>INDEX(Requerimientos!$B$5:$B$9,$F$9)*0.97</f>
        <v>2764.5</v>
      </c>
      <c r="D25" s="15">
        <f>INDEX(Requerimientos!$B$5:$B$9,$F$9)*1.03</f>
        <v>2935.5</v>
      </c>
      <c r="E25" s="16" t="str">
        <f t="shared" ref="E25:E31" si="1">IF(C25="","",IF(B25&lt;C25,"Falta",IF(AND(D25&lt;&gt;"",B25&gt;D25),"Exceso","OK")))</f>
        <v>OK</v>
      </c>
    </row>
    <row r="26" spans="1:5" x14ac:dyDescent="0.2">
      <c r="A26" s="7" t="s">
        <v>21</v>
      </c>
      <c r="B26" s="17">
        <f>SUMPRODUCT($B$12:$B$21,'Materias primas'!C$5:C$14)/100</f>
        <v>15.922349999999996</v>
      </c>
      <c r="C26" s="17">
        <f>INDEX(Requerimientos!$C$5:$C$9,$F$9)</f>
        <v>14.33</v>
      </c>
      <c r="D26" s="17"/>
      <c r="E26" s="16" t="str">
        <f t="shared" si="1"/>
        <v>OK</v>
      </c>
    </row>
    <row r="27" spans="1:5" x14ac:dyDescent="0.2">
      <c r="A27" s="7" t="s">
        <v>22</v>
      </c>
      <c r="B27" s="17">
        <f>SUMPRODUCT($B$12:$B$21,'Materias primas'!D$5:D$14)/100</f>
        <v>0.72949999999999993</v>
      </c>
      <c r="C27" s="17">
        <f>INDEX(Requerimientos!$D$5:$D$9,$F$9)</f>
        <v>0.72199999999999998</v>
      </c>
      <c r="D27" s="17"/>
      <c r="E27" s="16" t="str">
        <f t="shared" si="1"/>
        <v>OK</v>
      </c>
    </row>
    <row r="28" spans="1:5" x14ac:dyDescent="0.2">
      <c r="A28" s="7" t="s">
        <v>23</v>
      </c>
      <c r="B28" s="17">
        <f>SUMPRODUCT($B$12:$B$21,'Materias primas'!E$5:E$14)/100</f>
        <v>0.71660000000000001</v>
      </c>
      <c r="C28" s="17">
        <f>INDEX(Requerimientos!$E$5:$E$9,$F$9)</f>
        <v>0.66400000000000003</v>
      </c>
      <c r="D28" s="17"/>
      <c r="E28" s="16" t="str">
        <f t="shared" si="1"/>
        <v>OK</v>
      </c>
    </row>
    <row r="29" spans="1:5" x14ac:dyDescent="0.2">
      <c r="A29" s="7" t="s">
        <v>24</v>
      </c>
      <c r="B29" s="17">
        <f>SUMPRODUCT($B$12:$B$21,'Materias primas'!F$5:F$14)/100</f>
        <v>4.0807000000000002</v>
      </c>
      <c r="C29" s="17">
        <f>INDEX(Requerimientos!$F$5:$F$9,$F$9)</f>
        <v>4.03</v>
      </c>
      <c r="D29" s="17" t="str">
        <f>IF(INDEX(Requerimientos!$G$5:$G$9,$F$9)="","",INDEX(Requerimientos!$G$5:$G$9,$F$9))</f>
        <v/>
      </c>
      <c r="E29" s="16" t="str">
        <f t="shared" si="1"/>
        <v>OK</v>
      </c>
    </row>
    <row r="30" spans="1:5" x14ac:dyDescent="0.2">
      <c r="A30" s="7" t="s">
        <v>25</v>
      </c>
      <c r="B30" s="17">
        <f>SUMPRODUCT($B$12:$B$21,'Materias primas'!G$5:G$14)/100</f>
        <v>0.22915000000000002</v>
      </c>
      <c r="C30" s="17">
        <f>INDEX(Requerimientos!$H$5:$H$9,$F$9)</f>
        <v>0.21199999999999999</v>
      </c>
      <c r="D30" s="17"/>
      <c r="E30" s="16" t="str">
        <f t="shared" si="1"/>
        <v>OK</v>
      </c>
    </row>
    <row r="31" spans="1:5" x14ac:dyDescent="0.2">
      <c r="A31" s="7" t="s">
        <v>26</v>
      </c>
      <c r="B31" s="17">
        <f>SUMPRODUCT($B$12:$B$21,'Materias primas'!H$5:H$14)/100</f>
        <v>0.19115000000000001</v>
      </c>
      <c r="C31" s="17">
        <f>INDEX(Requerimientos!$I$5:$I$9,$F$9)</f>
        <v>0.17899999999999999</v>
      </c>
      <c r="D31" s="17"/>
      <c r="E31" s="16" t="str">
        <f t="shared" si="1"/>
        <v>OK</v>
      </c>
    </row>
    <row r="32" spans="1:5" x14ac:dyDescent="0.2">
      <c r="A32" s="7" t="s">
        <v>27</v>
      </c>
      <c r="B32" s="18">
        <f>SUMPRODUCT($B$12:$B$21,'Materias primas'!I$5:I$14)/100</f>
        <v>13.107000000000003</v>
      </c>
      <c r="C32" s="19"/>
      <c r="D32" s="19"/>
      <c r="E32" s="19"/>
    </row>
    <row r="34" spans="1:5" ht="16" x14ac:dyDescent="0.2">
      <c r="A34" s="7" t="s">
        <v>28</v>
      </c>
      <c r="B34" s="20">
        <f>SUMPRODUCT($B$12:$B$21,$C$12:$C$21)/100</f>
        <v>199.3</v>
      </c>
      <c r="E34" s="2" t="str">
        <f>IF(COUNTIFS($B$12:$B$21,"&gt;0",$C$12:$C$21,"")&gt;0,"Falta el precio de algún ingrediente usado","")</f>
        <v>Falta el precio de algún ingrediente usado</v>
      </c>
    </row>
    <row r="35" spans="1:5" x14ac:dyDescent="0.2">
      <c r="A35" s="7" t="s">
        <v>29</v>
      </c>
      <c r="B35" s="21">
        <v>110</v>
      </c>
    </row>
    <row r="36" spans="1:5" ht="16" x14ac:dyDescent="0.2">
      <c r="A36" s="7" t="s">
        <v>30</v>
      </c>
      <c r="B36" s="22">
        <f>B34*B35/1000</f>
        <v>21.922999999999998</v>
      </c>
    </row>
    <row r="38" spans="1:5" x14ac:dyDescent="0.2">
      <c r="A38" s="29" t="s">
        <v>31</v>
      </c>
      <c r="B38" s="28"/>
      <c r="C38" s="28"/>
      <c r="D38" s="28"/>
      <c r="E38" s="28"/>
    </row>
    <row r="39" spans="1:5" x14ac:dyDescent="0.2">
      <c r="A39" s="27" t="s">
        <v>32</v>
      </c>
      <c r="B39" s="28"/>
      <c r="C39" s="28"/>
      <c r="D39" s="28"/>
      <c r="E39" s="28"/>
    </row>
    <row r="40" spans="1:5" x14ac:dyDescent="0.2">
      <c r="A40" s="27" t="s">
        <v>33</v>
      </c>
      <c r="B40" s="28"/>
      <c r="C40" s="28"/>
      <c r="D40" s="28"/>
      <c r="E40" s="28"/>
    </row>
    <row r="41" spans="1:5" x14ac:dyDescent="0.2">
      <c r="A41" s="27" t="s">
        <v>34</v>
      </c>
      <c r="B41" s="28"/>
      <c r="C41" s="28"/>
      <c r="D41" s="28"/>
      <c r="E41" s="28"/>
    </row>
    <row r="42" spans="1:5" x14ac:dyDescent="0.2">
      <c r="A42" s="27" t="s">
        <v>35</v>
      </c>
      <c r="B42" s="28"/>
      <c r="C42" s="28"/>
      <c r="D42" s="28"/>
      <c r="E42" s="28"/>
    </row>
    <row r="43" spans="1:5" x14ac:dyDescent="0.2">
      <c r="A43" s="27" t="s">
        <v>36</v>
      </c>
      <c r="B43" s="28"/>
      <c r="C43" s="28"/>
      <c r="D43" s="28"/>
      <c r="E43" s="28"/>
    </row>
    <row r="44" spans="1:5" x14ac:dyDescent="0.2">
      <c r="A44" s="27" t="s">
        <v>37</v>
      </c>
      <c r="B44" s="28"/>
      <c r="C44" s="28"/>
      <c r="D44" s="28"/>
      <c r="E44" s="28"/>
    </row>
  </sheetData>
  <mergeCells count="8">
    <mergeCell ref="A44:E44"/>
    <mergeCell ref="B9:C9"/>
    <mergeCell ref="A40:E40"/>
    <mergeCell ref="A39:E39"/>
    <mergeCell ref="A43:E43"/>
    <mergeCell ref="A38:E38"/>
    <mergeCell ref="A42:E42"/>
    <mergeCell ref="A41:E41"/>
  </mergeCells>
  <conditionalFormatting sqref="E22">
    <cfRule type="expression" dxfId="3" priority="4">
      <formula>ABS(B22-100)&gt;=0.05</formula>
    </cfRule>
  </conditionalFormatting>
  <conditionalFormatting sqref="E25:E31">
    <cfRule type="expression" dxfId="2" priority="1">
      <formula>E25="OK"</formula>
    </cfRule>
    <cfRule type="expression" dxfId="1" priority="2">
      <formula>E25="Falta"</formula>
    </cfRule>
    <cfRule type="expression" dxfId="0" priority="3">
      <formula>E25="Exceso"</formula>
    </cfRule>
  </conditionalFormatting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000-000000000000}">
          <x14:formula1>
            <xm:f>Requerimientos!$A$5:$A$9</xm:f>
          </x14:formula1>
          <xm:sqref>B9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30" customWidth="1"/>
    <col min="2" max="2" width="16" customWidth="1"/>
    <col min="3" max="4" width="12" customWidth="1"/>
    <col min="5" max="5" width="14" customWidth="1"/>
    <col min="6" max="6" width="10" customWidth="1"/>
    <col min="7" max="7" width="12" customWidth="1"/>
    <col min="8" max="8" width="10" customWidth="1"/>
    <col min="9" max="9" width="11" customWidth="1"/>
    <col min="10" max="10" width="14" customWidth="1"/>
    <col min="11" max="11" width="60" customWidth="1"/>
  </cols>
  <sheetData>
    <row r="1" spans="1:11" ht="20" x14ac:dyDescent="0.2">
      <c r="A1" s="1" t="s">
        <v>38</v>
      </c>
    </row>
    <row r="2" spans="1:11" x14ac:dyDescent="0.2">
      <c r="A2" s="2" t="s">
        <v>39</v>
      </c>
    </row>
    <row r="4" spans="1:11" ht="58" customHeight="1" x14ac:dyDescent="0.2">
      <c r="A4" s="6" t="s">
        <v>9</v>
      </c>
      <c r="B4" s="6" t="s">
        <v>40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41</v>
      </c>
      <c r="J4" s="6" t="s">
        <v>12</v>
      </c>
      <c r="K4" s="6" t="s">
        <v>42</v>
      </c>
    </row>
    <row r="5" spans="1:11" ht="42" customHeight="1" x14ac:dyDescent="0.2">
      <c r="A5" s="7" t="s">
        <v>43</v>
      </c>
      <c r="B5" s="23">
        <v>3391</v>
      </c>
      <c r="C5" s="24">
        <v>7.81</v>
      </c>
      <c r="D5" s="24">
        <v>0.21</v>
      </c>
      <c r="E5" s="24">
        <v>0.28999999999999998</v>
      </c>
      <c r="F5" s="24">
        <v>0.02</v>
      </c>
      <c r="G5" s="24">
        <v>0.05</v>
      </c>
      <c r="H5" s="24">
        <v>0.01</v>
      </c>
      <c r="I5" s="24">
        <v>13.8</v>
      </c>
      <c r="J5" s="24">
        <v>65</v>
      </c>
      <c r="K5" s="25" t="s">
        <v>44</v>
      </c>
    </row>
    <row r="6" spans="1:11" ht="42" customHeight="1" x14ac:dyDescent="0.2">
      <c r="A6" s="7" t="s">
        <v>45</v>
      </c>
      <c r="B6" s="23">
        <v>3030</v>
      </c>
      <c r="C6" s="24">
        <v>12.6</v>
      </c>
      <c r="D6" s="24">
        <v>0.45</v>
      </c>
      <c r="E6" s="24">
        <v>0.51</v>
      </c>
      <c r="F6" s="24">
        <v>7.0000000000000007E-2</v>
      </c>
      <c r="G6" s="24">
        <v>0.22</v>
      </c>
      <c r="H6" s="24">
        <v>0.01</v>
      </c>
      <c r="I6" s="24">
        <v>28.7</v>
      </c>
      <c r="J6" s="24">
        <v>10</v>
      </c>
      <c r="K6" s="25" t="s">
        <v>46</v>
      </c>
    </row>
    <row r="7" spans="1:11" ht="42" customHeight="1" x14ac:dyDescent="0.2">
      <c r="A7" s="7" t="s">
        <v>47</v>
      </c>
      <c r="B7" s="23">
        <v>2332</v>
      </c>
      <c r="C7" s="24">
        <v>45.6</v>
      </c>
      <c r="D7" s="24">
        <v>2.6</v>
      </c>
      <c r="E7" s="24">
        <v>1.1100000000000001</v>
      </c>
      <c r="F7" s="24">
        <v>0.3</v>
      </c>
      <c r="G7" s="24">
        <v>0.22</v>
      </c>
      <c r="H7" s="24">
        <v>0.01</v>
      </c>
      <c r="I7" s="24">
        <v>11.6</v>
      </c>
      <c r="J7" s="24">
        <v>30</v>
      </c>
      <c r="K7" s="25" t="s">
        <v>48</v>
      </c>
    </row>
    <row r="8" spans="1:11" ht="42" customHeight="1" x14ac:dyDescent="0.2">
      <c r="A8" s="7" t="s">
        <v>49</v>
      </c>
      <c r="B8" s="23">
        <v>1856</v>
      </c>
      <c r="C8" s="24">
        <v>36.200000000000003</v>
      </c>
      <c r="D8" s="24">
        <v>1.63</v>
      </c>
      <c r="E8" s="24">
        <v>1.42</v>
      </c>
      <c r="F8" s="24">
        <v>0.63</v>
      </c>
      <c r="G8" s="24">
        <v>0.39</v>
      </c>
      <c r="H8" s="24">
        <v>0.1</v>
      </c>
      <c r="I8" s="24">
        <v>25.1</v>
      </c>
      <c r="J8" s="24">
        <v>12</v>
      </c>
      <c r="K8" s="25" t="s">
        <v>50</v>
      </c>
    </row>
    <row r="9" spans="1:11" ht="42" customHeight="1" x14ac:dyDescent="0.2">
      <c r="A9" s="7" t="s">
        <v>51</v>
      </c>
      <c r="B9" s="23">
        <v>1927</v>
      </c>
      <c r="C9" s="24">
        <v>15.2</v>
      </c>
      <c r="D9" s="24">
        <v>0.44</v>
      </c>
      <c r="E9" s="24">
        <v>0.42</v>
      </c>
      <c r="F9" s="24">
        <v>0.14000000000000001</v>
      </c>
      <c r="G9" s="24">
        <v>0.49</v>
      </c>
      <c r="H9" s="24">
        <v>0.02</v>
      </c>
      <c r="I9" s="24">
        <v>39.799999999999997</v>
      </c>
      <c r="J9" s="24">
        <v>15</v>
      </c>
      <c r="K9" s="25" t="s">
        <v>52</v>
      </c>
    </row>
    <row r="10" spans="1:11" ht="42" customHeight="1" x14ac:dyDescent="0.2">
      <c r="A10" s="7" t="s">
        <v>53</v>
      </c>
      <c r="B10" s="23">
        <v>0</v>
      </c>
      <c r="C10" s="24">
        <v>0</v>
      </c>
      <c r="D10" s="24">
        <v>0</v>
      </c>
      <c r="E10" s="24">
        <v>0</v>
      </c>
      <c r="F10" s="24">
        <v>36.4</v>
      </c>
      <c r="G10" s="24">
        <v>0</v>
      </c>
      <c r="H10" s="24">
        <v>0</v>
      </c>
      <c r="I10" s="24">
        <v>0</v>
      </c>
      <c r="J10" s="24"/>
      <c r="K10" s="25" t="s">
        <v>54</v>
      </c>
    </row>
    <row r="11" spans="1:11" ht="42" customHeight="1" x14ac:dyDescent="0.2">
      <c r="A11" s="7" t="s">
        <v>55</v>
      </c>
      <c r="B11" s="23">
        <v>0</v>
      </c>
      <c r="C11" s="24">
        <v>0</v>
      </c>
      <c r="D11" s="24">
        <v>0</v>
      </c>
      <c r="E11" s="24">
        <v>0</v>
      </c>
      <c r="F11" s="24">
        <v>0</v>
      </c>
      <c r="G11" s="24">
        <v>0</v>
      </c>
      <c r="H11" s="24">
        <v>39.700000000000003</v>
      </c>
      <c r="I11" s="24">
        <v>0</v>
      </c>
      <c r="J11" s="24"/>
      <c r="K11" s="25" t="s">
        <v>56</v>
      </c>
    </row>
    <row r="12" spans="1:11" ht="42" customHeight="1" x14ac:dyDescent="0.2">
      <c r="A12" s="7" t="s">
        <v>57</v>
      </c>
      <c r="B12" s="23">
        <v>0</v>
      </c>
      <c r="C12" s="24">
        <v>0</v>
      </c>
      <c r="D12" s="24">
        <v>0</v>
      </c>
      <c r="E12" s="24">
        <v>0</v>
      </c>
      <c r="F12" s="24">
        <v>24</v>
      </c>
      <c r="G12" s="24">
        <v>18.5</v>
      </c>
      <c r="H12" s="24">
        <v>0</v>
      </c>
      <c r="I12" s="24">
        <v>0</v>
      </c>
      <c r="J12" s="24"/>
      <c r="K12" s="25" t="s">
        <v>58</v>
      </c>
    </row>
    <row r="13" spans="1:11" ht="42" customHeight="1" x14ac:dyDescent="0.2">
      <c r="A13" s="7" t="s">
        <v>59</v>
      </c>
      <c r="B13" s="23">
        <v>5253</v>
      </c>
      <c r="C13" s="24">
        <v>58.7</v>
      </c>
      <c r="D13" s="24">
        <v>0</v>
      </c>
      <c r="E13" s="24">
        <v>99</v>
      </c>
      <c r="F13" s="24">
        <v>0</v>
      </c>
      <c r="G13" s="24">
        <v>0</v>
      </c>
      <c r="H13" s="24">
        <v>0</v>
      </c>
      <c r="I13" s="24">
        <v>0</v>
      </c>
      <c r="J13" s="24"/>
      <c r="K13" s="25" t="s">
        <v>60</v>
      </c>
    </row>
    <row r="14" spans="1:11" ht="42" customHeight="1" x14ac:dyDescent="0.2">
      <c r="A14" s="7" t="s">
        <v>61</v>
      </c>
      <c r="B14" s="23">
        <v>8784</v>
      </c>
      <c r="C14" s="24">
        <v>0</v>
      </c>
      <c r="D14" s="24">
        <v>0</v>
      </c>
      <c r="E14" s="24">
        <v>0</v>
      </c>
      <c r="F14" s="24">
        <v>0</v>
      </c>
      <c r="G14" s="24">
        <v>0</v>
      </c>
      <c r="H14" s="24">
        <v>0</v>
      </c>
      <c r="I14" s="24">
        <v>0</v>
      </c>
      <c r="J14" s="24">
        <v>7</v>
      </c>
      <c r="K14" s="25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tabSelected="1" workbookViewId="0">
      <pane xSplit="1" ySplit="4" topLeftCell="B5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26" customWidth="1"/>
    <col min="2" max="2" width="16" customWidth="1"/>
    <col min="3" max="4" width="12" customWidth="1"/>
    <col min="5" max="5" width="14" customWidth="1"/>
    <col min="6" max="7" width="11" customWidth="1"/>
    <col min="8" max="8" width="12" customWidth="1"/>
    <col min="9" max="9" width="10" customWidth="1"/>
    <col min="10" max="10" width="48" customWidth="1"/>
  </cols>
  <sheetData>
    <row r="1" spans="1:10" ht="20" x14ac:dyDescent="0.2">
      <c r="A1" s="1" t="s">
        <v>63</v>
      </c>
    </row>
    <row r="2" spans="1:10" x14ac:dyDescent="0.2">
      <c r="A2" s="2" t="s">
        <v>64</v>
      </c>
    </row>
    <row r="4" spans="1:10" ht="58" customHeight="1" x14ac:dyDescent="0.2">
      <c r="A4" s="6" t="s">
        <v>65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66</v>
      </c>
      <c r="G4" s="6" t="s">
        <v>67</v>
      </c>
      <c r="H4" s="6" t="s">
        <v>25</v>
      </c>
      <c r="I4" s="6" t="s">
        <v>26</v>
      </c>
      <c r="J4" s="6" t="s">
        <v>68</v>
      </c>
    </row>
    <row r="5" spans="1:10" ht="30" customHeight="1" x14ac:dyDescent="0.2">
      <c r="A5" s="7" t="s">
        <v>69</v>
      </c>
      <c r="B5" s="23">
        <v>2960</v>
      </c>
      <c r="C5" s="26">
        <v>18.8</v>
      </c>
      <c r="D5" s="26">
        <v>0.98</v>
      </c>
      <c r="E5" s="26">
        <v>0.74</v>
      </c>
      <c r="F5" s="26">
        <v>0.9</v>
      </c>
      <c r="G5" s="26">
        <v>1</v>
      </c>
      <c r="H5" s="26">
        <v>0.43</v>
      </c>
      <c r="I5" s="26">
        <v>0.19</v>
      </c>
      <c r="J5" s="25" t="s">
        <v>70</v>
      </c>
    </row>
    <row r="6" spans="1:10" ht="30" customHeight="1" x14ac:dyDescent="0.2">
      <c r="A6" s="7" t="s">
        <v>71</v>
      </c>
      <c r="B6" s="23">
        <v>2820</v>
      </c>
      <c r="C6" s="26">
        <v>16.7</v>
      </c>
      <c r="D6" s="26">
        <v>0.76</v>
      </c>
      <c r="E6" s="26">
        <v>0.61</v>
      </c>
      <c r="F6" s="26">
        <v>0.8</v>
      </c>
      <c r="G6" s="26">
        <v>0.95</v>
      </c>
      <c r="H6" s="26">
        <v>0.4</v>
      </c>
      <c r="I6" s="26">
        <v>0.17</v>
      </c>
      <c r="J6" s="25" t="s">
        <v>70</v>
      </c>
    </row>
    <row r="7" spans="1:10" ht="30" customHeight="1" x14ac:dyDescent="0.2">
      <c r="A7" s="7" t="s">
        <v>72</v>
      </c>
      <c r="B7" s="23">
        <v>2730</v>
      </c>
      <c r="C7" s="26">
        <v>15</v>
      </c>
      <c r="D7" s="26">
        <v>0.55000000000000004</v>
      </c>
      <c r="E7" s="26">
        <v>0.46</v>
      </c>
      <c r="F7" s="26">
        <v>0.75</v>
      </c>
      <c r="G7" s="26">
        <v>0.85</v>
      </c>
      <c r="H7" s="26">
        <v>0.37</v>
      </c>
      <c r="I7" s="26">
        <v>0.15</v>
      </c>
      <c r="J7" s="25" t="s">
        <v>70</v>
      </c>
    </row>
    <row r="8" spans="1:10" ht="30" customHeight="1" x14ac:dyDescent="0.2">
      <c r="A8" s="7" t="s">
        <v>73</v>
      </c>
      <c r="B8" s="23">
        <v>2730</v>
      </c>
      <c r="C8" s="26">
        <v>17</v>
      </c>
      <c r="D8" s="26">
        <v>0.68</v>
      </c>
      <c r="E8" s="26">
        <v>0.6</v>
      </c>
      <c r="F8" s="26">
        <v>2.85</v>
      </c>
      <c r="G8" s="26">
        <v>3.75</v>
      </c>
      <c r="H8" s="26">
        <v>0.39</v>
      </c>
      <c r="I8" s="26">
        <v>0.16</v>
      </c>
      <c r="J8" s="25" t="s">
        <v>70</v>
      </c>
    </row>
    <row r="9" spans="1:10" ht="30" customHeight="1" x14ac:dyDescent="0.2">
      <c r="A9" s="7" t="s">
        <v>8</v>
      </c>
      <c r="B9" s="23">
        <v>2850</v>
      </c>
      <c r="C9" s="26">
        <v>14.33</v>
      </c>
      <c r="D9" s="26">
        <v>0.72199999999999998</v>
      </c>
      <c r="E9" s="26">
        <v>0.66400000000000003</v>
      </c>
      <c r="F9" s="26">
        <v>4.03</v>
      </c>
      <c r="G9" s="26"/>
      <c r="H9" s="26">
        <v>0.21199999999999999</v>
      </c>
      <c r="I9" s="26">
        <v>0.17899999999999999</v>
      </c>
      <c r="J9" s="25" t="s">
        <v>74</v>
      </c>
    </row>
    <row r="11" spans="1:10" ht="32" customHeight="1" x14ac:dyDescent="0.2">
      <c r="A11" s="32" t="s">
        <v>75</v>
      </c>
      <c r="B11" s="28"/>
      <c r="C11" s="28"/>
      <c r="D11" s="28"/>
      <c r="E11" s="28"/>
      <c r="F11" s="28"/>
      <c r="G11" s="28"/>
      <c r="H11" s="28"/>
      <c r="I11" s="28"/>
      <c r="J11" s="28"/>
    </row>
  </sheetData>
  <mergeCells count="1">
    <mergeCell ref="A11:J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Formulador</vt:lpstr>
      <vt:lpstr>Materias primas</vt:lpstr>
      <vt:lpstr>Requerimientos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Lazo</cp:lastModifiedBy>
  <dcterms:created xsi:type="dcterms:W3CDTF">2026-10-06T21:55:19Z</dcterms:created>
  <dcterms:modified xsi:type="dcterms:W3CDTF">2026-10-06T22:08:03Z</dcterms:modified>
</cp:coreProperties>
</file>